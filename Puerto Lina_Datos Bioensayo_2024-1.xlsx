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426"/>
  <workbookPr defaultThemeVersion="166925"/>
  <mc:AlternateContent xmlns:mc="http://schemas.openxmlformats.org/markup-compatibility/2006">
    <mc:Choice Requires="x15">
      <x15ac:absPath xmlns:x15ac="http://schemas.microsoft.com/office/spreadsheetml/2010/11/ac" url="E:\Proyecto HMA\"/>
    </mc:Choice>
  </mc:AlternateContent>
  <xr:revisionPtr revIDLastSave="0" documentId="8_{296EFF60-2D5F-4E56-ABF9-151CD21A326F}" xr6:coauthVersionLast="45" xr6:coauthVersionMax="45" xr10:uidLastSave="{00000000-0000-0000-0000-000000000000}"/>
  <bookViews>
    <workbookView xWindow="-120" yWindow="-120" windowWidth="20730" windowHeight="11040" activeTab="1" xr2:uid="{E6A46A12-FFCC-48E5-890E-9763DF941C86}"/>
  </bookViews>
  <sheets>
    <sheet name="Bioensayo" sheetId="1" r:id="rId1"/>
    <sheet name="Producción Sistema aeropónico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4" i="2" l="1"/>
  <c r="A5" i="2" s="1"/>
  <c r="A6" i="2" s="1"/>
  <c r="A7" i="2" s="1"/>
  <c r="A8" i="2" s="1"/>
  <c r="A9" i="2" s="1"/>
  <c r="A10" i="2" s="1"/>
  <c r="A11" i="2" s="1"/>
  <c r="A12" i="2" s="1"/>
  <c r="A13" i="2" s="1"/>
  <c r="A14" i="2" s="1"/>
  <c r="A15" i="2" s="1"/>
  <c r="A16" i="2" s="1"/>
  <c r="A17" i="2" s="1"/>
  <c r="A18" i="2" s="1"/>
  <c r="A19" i="2" s="1"/>
  <c r="A20" i="2" s="1"/>
  <c r="A21" i="2" s="1"/>
  <c r="A22" i="2" s="1"/>
  <c r="A23" i="2" s="1"/>
  <c r="A24" i="2" s="1"/>
  <c r="A25" i="2" s="1"/>
  <c r="A26" i="2" s="1"/>
  <c r="A27" i="2" s="1"/>
  <c r="A28" i="2" s="1"/>
  <c r="A29" i="2" s="1"/>
  <c r="A3" i="2"/>
  <c r="M16" i="1"/>
  <c r="C16" i="1"/>
  <c r="M15" i="1"/>
  <c r="C15" i="1"/>
  <c r="M14" i="1"/>
  <c r="C14" i="1"/>
  <c r="M13" i="1"/>
  <c r="M12" i="1"/>
  <c r="C12" i="1"/>
  <c r="M11" i="1"/>
  <c r="C11" i="1"/>
  <c r="M10" i="1"/>
  <c r="C10" i="1"/>
  <c r="M9" i="1"/>
  <c r="C9" i="1"/>
  <c r="M8" i="1"/>
  <c r="C8" i="1"/>
  <c r="M7" i="1"/>
  <c r="C7" i="1"/>
  <c r="M6" i="1"/>
  <c r="C6" i="1"/>
  <c r="M5" i="1"/>
  <c r="C5" i="1"/>
  <c r="M4" i="1"/>
  <c r="C4" i="1"/>
  <c r="M3" i="1"/>
  <c r="C3" i="1"/>
  <c r="M2" i="1"/>
  <c r="C2" i="1"/>
</calcChain>
</file>

<file path=xl/sharedStrings.xml><?xml version="1.0" encoding="utf-8"?>
<sst xmlns="http://schemas.openxmlformats.org/spreadsheetml/2006/main" count="19" uniqueCount="12">
  <si>
    <r>
      <rPr>
        <b/>
        <sz val="10"/>
        <color theme="1"/>
        <rFont val="Arial"/>
      </rPr>
      <t xml:space="preserve">Planta huésped: </t>
    </r>
    <r>
      <rPr>
        <b/>
        <i/>
        <sz val="10"/>
        <color theme="1"/>
        <rFont val="Arial"/>
      </rPr>
      <t>Allium Cepa ,</t>
    </r>
    <r>
      <rPr>
        <b/>
        <sz val="10"/>
        <color theme="1"/>
        <rFont val="Arial"/>
      </rPr>
      <t xml:space="preserve"> inoculadas con </t>
    </r>
  </si>
  <si>
    <t>Masa fresca (g)</t>
  </si>
  <si>
    <t>Masa raíz (g)</t>
  </si>
  <si>
    <t>Longitud planta(cm)</t>
  </si>
  <si>
    <t>Longitud raíz (cm)</t>
  </si>
  <si>
    <t xml:space="preserve">Planta huésped: Zea Mays, inoculadas con </t>
  </si>
  <si>
    <t>Inóculo sistema aeropónico</t>
  </si>
  <si>
    <t>Inóculo comercial</t>
  </si>
  <si>
    <t>Control negativo</t>
  </si>
  <si>
    <t>Planta</t>
  </si>
  <si>
    <t>Masa de raíces (g)</t>
  </si>
  <si>
    <t>Longitud de raíces (cm)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</si>
</sst>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0"/>
      <color theme="1"/>
      <name val="Calibri"/>
      <scheme val="minor"/>
    </font>
    <font>
      <b/>
      <sz val="10"/>
      <color theme="1"/>
      <name val="Arial"/>
    </font>
    <font>
      <b/>
      <i/>
      <sz val="10"/>
      <color theme="1"/>
      <name val="Arial"/>
    </font>
    <font>
      <sz val="10"/>
      <name val="Arial"/>
    </font>
    <font>
      <sz val="10"/>
      <color theme="1"/>
      <name val="Calibri"/>
      <scheme val="minor"/>
    </font>
  </fonts>
  <fills count="2">
    <fill>
      <patternFill patternType="none"/>
    </fill>
    <fill>
      <patternFill patternType="gray125"/>
    </fill>
  </fills>
  <borders count="17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/>
      <right/>
      <top/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thin">
        <color rgb="FF000000"/>
      </bottom>
      <diagonal/>
    </border>
    <border>
      <left/>
      <right style="medium">
        <color rgb="FF000000"/>
      </right>
      <top/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/>
      <right/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/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21">
    <xf numFmtId="0" fontId="0" fillId="0" borderId="0" xfId="0"/>
    <xf numFmtId="0" fontId="1" fillId="0" borderId="1" xfId="0" applyFont="1" applyBorder="1" applyAlignment="1">
      <alignment horizontal="center" vertical="center" wrapText="1"/>
    </xf>
    <xf numFmtId="0" fontId="4" fillId="0" borderId="2" xfId="0" applyFont="1" applyBorder="1"/>
    <xf numFmtId="0" fontId="1" fillId="0" borderId="3" xfId="0" applyFont="1" applyBorder="1" applyAlignment="1">
      <alignment horizontal="center" vertical="center" wrapText="1"/>
    </xf>
    <xf numFmtId="0" fontId="5" fillId="0" borderId="0" xfId="0" applyFont="1" applyAlignment="1">
      <alignment horizontal="center"/>
    </xf>
    <xf numFmtId="0" fontId="1" fillId="0" borderId="0" xfId="0" applyFont="1" applyAlignment="1">
      <alignment horizontal="center" vertical="center" wrapText="1"/>
    </xf>
    <xf numFmtId="0" fontId="1" fillId="0" borderId="4" xfId="0" applyFont="1" applyBorder="1" applyAlignment="1">
      <alignment horizontal="center" vertical="center" wrapText="1"/>
    </xf>
    <xf numFmtId="0" fontId="5" fillId="0" borderId="5" xfId="0" applyFont="1" applyBorder="1" applyAlignment="1">
      <alignment horizontal="center"/>
    </xf>
    <xf numFmtId="0" fontId="5" fillId="0" borderId="6" xfId="0" applyFont="1" applyBorder="1" applyAlignment="1">
      <alignment horizontal="center"/>
    </xf>
    <xf numFmtId="0" fontId="5" fillId="0" borderId="7" xfId="0" applyFont="1" applyBorder="1" applyAlignment="1">
      <alignment horizontal="center"/>
    </xf>
    <xf numFmtId="0" fontId="4" fillId="0" borderId="8" xfId="0" applyFont="1" applyBorder="1"/>
    <xf numFmtId="0" fontId="5" fillId="0" borderId="9" xfId="0" applyFont="1" applyBorder="1" applyAlignment="1">
      <alignment horizontal="center"/>
    </xf>
    <xf numFmtId="0" fontId="5" fillId="0" borderId="10" xfId="0" applyFont="1" applyBorder="1" applyAlignment="1">
      <alignment horizontal="center"/>
    </xf>
    <xf numFmtId="0" fontId="5" fillId="0" borderId="11" xfId="0" applyFont="1" applyBorder="1" applyAlignment="1">
      <alignment horizontal="center"/>
    </xf>
    <xf numFmtId="0" fontId="4" fillId="0" borderId="12" xfId="0" applyFont="1" applyBorder="1"/>
    <xf numFmtId="0" fontId="5" fillId="0" borderId="13" xfId="0" applyFont="1" applyBorder="1" applyAlignment="1">
      <alignment horizontal="center"/>
    </xf>
    <xf numFmtId="0" fontId="5" fillId="0" borderId="14" xfId="0" applyFont="1" applyBorder="1" applyAlignment="1">
      <alignment horizontal="center"/>
    </xf>
    <xf numFmtId="0" fontId="5" fillId="0" borderId="15" xfId="0" applyFont="1" applyBorder="1" applyAlignment="1">
      <alignment horizontal="center"/>
    </xf>
    <xf numFmtId="0" fontId="0" fillId="0" borderId="0" xfId="0"/>
    <xf numFmtId="0" fontId="1" fillId="0" borderId="16" xfId="0" applyFont="1" applyBorder="1" applyAlignment="1">
      <alignment horizontal="center" wrapText="1"/>
    </xf>
    <xf numFmtId="0" fontId="5" fillId="0" borderId="16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1E37C8-141D-4874-81B1-4B658518336B}">
  <dimension ref="A1:Q21"/>
  <sheetViews>
    <sheetView workbookViewId="0">
      <selection sqref="A1:Q21"/>
    </sheetView>
  </sheetViews>
  <sheetFormatPr baseColWidth="10" defaultRowHeight="15" x14ac:dyDescent="0.25"/>
  <sheetData>
    <row r="1" spans="1:17" ht="26.25" thickBot="1" x14ac:dyDescent="0.3">
      <c r="A1" s="1" t="s">
        <v>0</v>
      </c>
      <c r="B1" s="2"/>
      <c r="C1" s="3" t="s">
        <v>1</v>
      </c>
      <c r="D1" s="3" t="s">
        <v>2</v>
      </c>
      <c r="E1" s="3" t="s">
        <v>3</v>
      </c>
      <c r="F1" s="3" t="s">
        <v>4</v>
      </c>
      <c r="H1" s="4"/>
      <c r="K1" s="1" t="s">
        <v>5</v>
      </c>
      <c r="L1" s="2"/>
      <c r="M1" s="3" t="s">
        <v>1</v>
      </c>
      <c r="N1" s="3" t="s">
        <v>2</v>
      </c>
      <c r="O1" s="3" t="s">
        <v>3</v>
      </c>
      <c r="P1" s="3" t="s">
        <v>4</v>
      </c>
      <c r="Q1" s="5"/>
    </row>
    <row r="2" spans="1:17" x14ac:dyDescent="0.25">
      <c r="A2" s="6" t="s">
        <v>6</v>
      </c>
      <c r="B2" s="7">
        <v>1</v>
      </c>
      <c r="C2" s="8">
        <f>2.06+D2</f>
        <v>2.54</v>
      </c>
      <c r="D2" s="8">
        <v>0.48</v>
      </c>
      <c r="E2" s="8">
        <v>40</v>
      </c>
      <c r="F2" s="9">
        <v>4.3</v>
      </c>
      <c r="H2" s="4"/>
      <c r="K2" s="6" t="s">
        <v>6</v>
      </c>
      <c r="L2" s="7">
        <v>1</v>
      </c>
      <c r="M2" s="8">
        <f>2.28+N2</f>
        <v>3.6599999999999997</v>
      </c>
      <c r="N2" s="8">
        <v>1.38</v>
      </c>
      <c r="O2" s="8">
        <v>66</v>
      </c>
      <c r="P2" s="9">
        <v>17</v>
      </c>
    </row>
    <row r="3" spans="1:17" x14ac:dyDescent="0.25">
      <c r="A3" s="10"/>
      <c r="B3" s="11">
        <v>2</v>
      </c>
      <c r="C3" s="12">
        <f>0.66+D3</f>
        <v>1.02</v>
      </c>
      <c r="D3" s="12">
        <v>0.36</v>
      </c>
      <c r="E3" s="12">
        <v>30</v>
      </c>
      <c r="F3" s="13">
        <v>3.8</v>
      </c>
      <c r="H3" s="4"/>
      <c r="K3" s="10"/>
      <c r="L3" s="11">
        <v>2</v>
      </c>
      <c r="M3" s="12">
        <f>2.73+N3</f>
        <v>4.38</v>
      </c>
      <c r="N3" s="12">
        <v>1.65</v>
      </c>
      <c r="O3" s="12">
        <v>67</v>
      </c>
      <c r="P3" s="13">
        <v>17.5</v>
      </c>
    </row>
    <row r="4" spans="1:17" x14ac:dyDescent="0.25">
      <c r="A4" s="10"/>
      <c r="B4" s="11">
        <v>3</v>
      </c>
      <c r="C4" s="12">
        <f>0.95+D4</f>
        <v>1.23</v>
      </c>
      <c r="D4" s="12">
        <v>0.28000000000000003</v>
      </c>
      <c r="E4" s="12">
        <v>39</v>
      </c>
      <c r="F4" s="13">
        <v>5</v>
      </c>
      <c r="H4" s="4"/>
      <c r="K4" s="10"/>
      <c r="L4" s="11">
        <v>3</v>
      </c>
      <c r="M4" s="12">
        <f>2.75+N4</f>
        <v>3.45</v>
      </c>
      <c r="N4" s="12">
        <v>0.7</v>
      </c>
      <c r="O4" s="12">
        <v>57</v>
      </c>
      <c r="P4" s="13">
        <v>13</v>
      </c>
    </row>
    <row r="5" spans="1:17" x14ac:dyDescent="0.25">
      <c r="A5" s="10"/>
      <c r="B5" s="11">
        <v>4</v>
      </c>
      <c r="C5" s="12">
        <f>0.83+D5</f>
        <v>1.17</v>
      </c>
      <c r="D5" s="12">
        <v>0.34</v>
      </c>
      <c r="E5" s="12">
        <v>29</v>
      </c>
      <c r="F5" s="13">
        <v>4.5</v>
      </c>
      <c r="H5" s="4"/>
      <c r="K5" s="10"/>
      <c r="L5" s="11">
        <v>4</v>
      </c>
      <c r="M5" s="12">
        <f>2.57+N5</f>
        <v>4.4499999999999993</v>
      </c>
      <c r="N5" s="12">
        <v>1.88</v>
      </c>
      <c r="O5" s="12">
        <v>82</v>
      </c>
      <c r="P5" s="13">
        <v>22</v>
      </c>
    </row>
    <row r="6" spans="1:17" ht="15.75" thickBot="1" x14ac:dyDescent="0.3">
      <c r="A6" s="14"/>
      <c r="B6" s="15">
        <v>5</v>
      </c>
      <c r="C6" s="16">
        <f>1.53+D6</f>
        <v>2.11</v>
      </c>
      <c r="D6" s="16">
        <v>0.57999999999999996</v>
      </c>
      <c r="E6" s="16">
        <v>35</v>
      </c>
      <c r="F6" s="17">
        <v>7.5</v>
      </c>
      <c r="H6" s="4"/>
      <c r="K6" s="14"/>
      <c r="L6" s="15">
        <v>5</v>
      </c>
      <c r="M6" s="16">
        <f>3.27+N6</f>
        <v>4.9000000000000004</v>
      </c>
      <c r="N6" s="16">
        <v>1.63</v>
      </c>
      <c r="O6" s="16">
        <v>67</v>
      </c>
      <c r="P6" s="17">
        <v>14</v>
      </c>
    </row>
    <row r="7" spans="1:17" x14ac:dyDescent="0.25">
      <c r="A7" s="6" t="s">
        <v>7</v>
      </c>
      <c r="B7" s="7">
        <v>1</v>
      </c>
      <c r="C7" s="8">
        <f>0.87+D7</f>
        <v>1.22</v>
      </c>
      <c r="D7" s="8">
        <v>0.35</v>
      </c>
      <c r="E7" s="8">
        <v>36</v>
      </c>
      <c r="F7" s="9">
        <v>4.2</v>
      </c>
      <c r="H7" s="4"/>
      <c r="K7" s="6" t="s">
        <v>7</v>
      </c>
      <c r="L7" s="7">
        <v>1</v>
      </c>
      <c r="M7" s="8">
        <f>1.81+N7</f>
        <v>2.7</v>
      </c>
      <c r="N7" s="8">
        <v>0.89</v>
      </c>
      <c r="O7" s="8">
        <v>55</v>
      </c>
      <c r="P7" s="9">
        <v>12</v>
      </c>
    </row>
    <row r="8" spans="1:17" x14ac:dyDescent="0.25">
      <c r="A8" s="10"/>
      <c r="B8" s="11">
        <v>2</v>
      </c>
      <c r="C8" s="12">
        <f>0.92+D8</f>
        <v>1.28</v>
      </c>
      <c r="D8" s="12">
        <v>0.36</v>
      </c>
      <c r="E8" s="12">
        <v>33</v>
      </c>
      <c r="F8" s="13">
        <v>4</v>
      </c>
      <c r="H8" s="4"/>
      <c r="K8" s="10"/>
      <c r="L8" s="11">
        <v>2</v>
      </c>
      <c r="M8" s="12">
        <f>2.35+N8</f>
        <v>3.34</v>
      </c>
      <c r="N8" s="12">
        <v>0.99</v>
      </c>
      <c r="O8" s="12">
        <v>57</v>
      </c>
      <c r="P8" s="13">
        <v>16</v>
      </c>
    </row>
    <row r="9" spans="1:17" x14ac:dyDescent="0.25">
      <c r="A9" s="10"/>
      <c r="B9" s="11">
        <v>3</v>
      </c>
      <c r="C9" s="12">
        <f>0.47+D9</f>
        <v>0.83</v>
      </c>
      <c r="D9" s="12">
        <v>0.36</v>
      </c>
      <c r="E9" s="12">
        <v>24</v>
      </c>
      <c r="F9" s="13">
        <v>4.5</v>
      </c>
      <c r="H9" s="4"/>
      <c r="K9" s="10"/>
      <c r="L9" s="11">
        <v>3</v>
      </c>
      <c r="M9" s="12">
        <f>2.55+N9</f>
        <v>4.33</v>
      </c>
      <c r="N9" s="12">
        <v>1.78</v>
      </c>
      <c r="O9" s="12">
        <v>45</v>
      </c>
      <c r="P9" s="13">
        <v>14</v>
      </c>
    </row>
    <row r="10" spans="1:17" x14ac:dyDescent="0.25">
      <c r="A10" s="10"/>
      <c r="B10" s="11">
        <v>4</v>
      </c>
      <c r="C10" s="12">
        <f>2.56+D10</f>
        <v>3.21</v>
      </c>
      <c r="D10" s="12">
        <v>0.65</v>
      </c>
      <c r="E10" s="12">
        <v>43</v>
      </c>
      <c r="F10" s="13">
        <v>6</v>
      </c>
      <c r="H10" s="4"/>
      <c r="K10" s="10"/>
      <c r="L10" s="11">
        <v>4</v>
      </c>
      <c r="M10" s="12">
        <f>2.25+N10</f>
        <v>3.45</v>
      </c>
      <c r="N10" s="12">
        <v>1.2</v>
      </c>
      <c r="O10" s="12">
        <v>58</v>
      </c>
      <c r="P10" s="13">
        <v>11</v>
      </c>
    </row>
    <row r="11" spans="1:17" ht="15.75" thickBot="1" x14ac:dyDescent="0.3">
      <c r="A11" s="14"/>
      <c r="B11" s="15">
        <v>5</v>
      </c>
      <c r="C11" s="16">
        <f>1.3+D11</f>
        <v>1.73</v>
      </c>
      <c r="D11" s="16">
        <v>0.43</v>
      </c>
      <c r="E11" s="16">
        <v>39</v>
      </c>
      <c r="F11" s="17">
        <v>4.3</v>
      </c>
      <c r="H11" s="4"/>
      <c r="K11" s="14"/>
      <c r="L11" s="15">
        <v>5</v>
      </c>
      <c r="M11" s="16">
        <f>2.79+N11</f>
        <v>4.32</v>
      </c>
      <c r="N11" s="16">
        <v>1.53</v>
      </c>
      <c r="O11" s="16">
        <v>63</v>
      </c>
      <c r="P11" s="17">
        <v>20</v>
      </c>
    </row>
    <row r="12" spans="1:17" x14ac:dyDescent="0.25">
      <c r="A12" s="6" t="s">
        <v>8</v>
      </c>
      <c r="B12" s="7">
        <v>1</v>
      </c>
      <c r="C12" s="8">
        <f>0.91+D12</f>
        <v>1.52</v>
      </c>
      <c r="D12" s="8">
        <v>0.61</v>
      </c>
      <c r="E12" s="8">
        <v>32</v>
      </c>
      <c r="F12" s="9">
        <v>4</v>
      </c>
      <c r="H12" s="4"/>
      <c r="K12" s="6" t="s">
        <v>8</v>
      </c>
      <c r="L12" s="7">
        <v>1</v>
      </c>
      <c r="M12" s="8">
        <f>1.95+N12</f>
        <v>3.23</v>
      </c>
      <c r="N12" s="8">
        <v>1.28</v>
      </c>
      <c r="O12" s="8">
        <v>53</v>
      </c>
      <c r="P12" s="9">
        <v>15</v>
      </c>
    </row>
    <row r="13" spans="1:17" x14ac:dyDescent="0.25">
      <c r="A13" s="10"/>
      <c r="B13" s="11">
        <v>2</v>
      </c>
      <c r="C13" s="12">
        <v>0.83</v>
      </c>
      <c r="D13" s="12">
        <v>0.35</v>
      </c>
      <c r="E13" s="12">
        <v>30</v>
      </c>
      <c r="F13" s="13">
        <v>5.5</v>
      </c>
      <c r="H13" s="4"/>
      <c r="K13" s="10"/>
      <c r="L13" s="11">
        <v>2</v>
      </c>
      <c r="M13" s="12">
        <f>1.4+N13</f>
        <v>3.1399999999999997</v>
      </c>
      <c r="N13" s="12">
        <v>1.74</v>
      </c>
      <c r="O13" s="12">
        <v>45</v>
      </c>
      <c r="P13" s="13">
        <v>19</v>
      </c>
    </row>
    <row r="14" spans="1:17" x14ac:dyDescent="0.25">
      <c r="A14" s="10"/>
      <c r="B14" s="11">
        <v>3</v>
      </c>
      <c r="C14" s="12">
        <f>D14+0.3</f>
        <v>0.48</v>
      </c>
      <c r="D14" s="12">
        <v>0.18</v>
      </c>
      <c r="E14" s="12">
        <v>27</v>
      </c>
      <c r="F14" s="13">
        <v>3.5</v>
      </c>
      <c r="H14" s="4"/>
      <c r="K14" s="10"/>
      <c r="L14" s="11">
        <v>3</v>
      </c>
      <c r="M14" s="12">
        <f>2.24+N14</f>
        <v>3.96</v>
      </c>
      <c r="N14" s="12">
        <v>1.72</v>
      </c>
      <c r="O14" s="12">
        <v>57</v>
      </c>
      <c r="P14" s="13">
        <v>17</v>
      </c>
    </row>
    <row r="15" spans="1:17" x14ac:dyDescent="0.25">
      <c r="A15" s="10"/>
      <c r="B15" s="11">
        <v>4</v>
      </c>
      <c r="C15" s="12">
        <f>D15+0.51</f>
        <v>0.74</v>
      </c>
      <c r="D15" s="12">
        <v>0.23</v>
      </c>
      <c r="E15" s="12">
        <v>30.4</v>
      </c>
      <c r="F15" s="13">
        <v>3.8</v>
      </c>
      <c r="H15" s="4"/>
      <c r="K15" s="10"/>
      <c r="L15" s="11">
        <v>4</v>
      </c>
      <c r="M15" s="12">
        <f>1.04+N15</f>
        <v>2.58</v>
      </c>
      <c r="N15" s="12">
        <v>1.54</v>
      </c>
      <c r="O15" s="12">
        <v>36</v>
      </c>
      <c r="P15" s="13">
        <v>12</v>
      </c>
    </row>
    <row r="16" spans="1:17" ht="15.75" thickBot="1" x14ac:dyDescent="0.3">
      <c r="A16" s="14"/>
      <c r="B16" s="15">
        <v>5</v>
      </c>
      <c r="C16" s="16">
        <f>D16+0.75</f>
        <v>1.1200000000000001</v>
      </c>
      <c r="D16" s="16">
        <v>0.37</v>
      </c>
      <c r="E16" s="16">
        <v>35</v>
      </c>
      <c r="F16" s="17">
        <v>7</v>
      </c>
      <c r="H16" s="4"/>
      <c r="K16" s="14"/>
      <c r="L16" s="15">
        <v>5</v>
      </c>
      <c r="M16" s="16">
        <f>1.76+N16</f>
        <v>2.7800000000000002</v>
      </c>
      <c r="N16" s="16">
        <v>1.02</v>
      </c>
      <c r="O16" s="16">
        <v>41</v>
      </c>
      <c r="P16" s="17">
        <v>8</v>
      </c>
    </row>
    <row r="17" spans="1:1" x14ac:dyDescent="0.25">
      <c r="A17" s="18"/>
    </row>
    <row r="18" spans="1:1" x14ac:dyDescent="0.25">
      <c r="A18" s="18"/>
    </row>
    <row r="19" spans="1:1" x14ac:dyDescent="0.25">
      <c r="A19" s="18"/>
    </row>
    <row r="20" spans="1:1" x14ac:dyDescent="0.25">
      <c r="A20" s="18"/>
    </row>
    <row r="21" spans="1:1" x14ac:dyDescent="0.25">
      <c r="A21" s="18"/>
    </row>
  </sheetData>
  <mergeCells count="9">
    <mergeCell ref="A12:A16"/>
    <mergeCell ref="K12:K16"/>
    <mergeCell ref="A17:A21"/>
    <mergeCell ref="A1:B1"/>
    <mergeCell ref="K1:L1"/>
    <mergeCell ref="A2:A6"/>
    <mergeCell ref="K2:K6"/>
    <mergeCell ref="A7:A11"/>
    <mergeCell ref="K7:K1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A451F5-1B99-4C4A-A3C8-5554B8859A44}">
  <dimension ref="A1:C29"/>
  <sheetViews>
    <sheetView tabSelected="1" topLeftCell="A5" workbookViewId="0">
      <selection activeCell="E5" sqref="E5"/>
    </sheetView>
  </sheetViews>
  <sheetFormatPr baseColWidth="10" defaultRowHeight="15" x14ac:dyDescent="0.25"/>
  <sheetData>
    <row r="1" spans="1:3" ht="26.25" x14ac:dyDescent="0.25">
      <c r="A1" s="19" t="s">
        <v>9</v>
      </c>
      <c r="B1" s="19" t="s">
        <v>10</v>
      </c>
      <c r="C1" s="19" t="s">
        <v>11</v>
      </c>
    </row>
    <row r="2" spans="1:3" x14ac:dyDescent="0.25">
      <c r="A2" s="20">
        <v>1</v>
      </c>
      <c r="B2" s="20">
        <v>0.68</v>
      </c>
      <c r="C2" s="20">
        <v>18</v>
      </c>
    </row>
    <row r="3" spans="1:3" x14ac:dyDescent="0.25">
      <c r="A3" s="20">
        <f t="shared" ref="A3:A29" si="0">A2+1</f>
        <v>2</v>
      </c>
      <c r="B3" s="20">
        <v>0.8</v>
      </c>
      <c r="C3" s="20">
        <v>19.5</v>
      </c>
    </row>
    <row r="4" spans="1:3" x14ac:dyDescent="0.25">
      <c r="A4" s="20">
        <f t="shared" si="0"/>
        <v>3</v>
      </c>
      <c r="B4" s="20">
        <v>0.56000000000000005</v>
      </c>
      <c r="C4" s="20">
        <v>15</v>
      </c>
    </row>
    <row r="5" spans="1:3" x14ac:dyDescent="0.25">
      <c r="A5" s="20">
        <f t="shared" si="0"/>
        <v>4</v>
      </c>
      <c r="B5" s="20">
        <v>0.93</v>
      </c>
      <c r="C5" s="20">
        <v>24.3</v>
      </c>
    </row>
    <row r="6" spans="1:3" x14ac:dyDescent="0.25">
      <c r="A6" s="20">
        <f t="shared" si="0"/>
        <v>5</v>
      </c>
      <c r="B6" s="20">
        <v>0.49</v>
      </c>
      <c r="C6" s="20">
        <v>16</v>
      </c>
    </row>
    <row r="7" spans="1:3" x14ac:dyDescent="0.25">
      <c r="A7" s="20">
        <f t="shared" si="0"/>
        <v>6</v>
      </c>
      <c r="B7" s="20">
        <v>0.63</v>
      </c>
      <c r="C7" s="20">
        <v>15.5</v>
      </c>
    </row>
    <row r="8" spans="1:3" x14ac:dyDescent="0.25">
      <c r="A8" s="20">
        <f t="shared" si="0"/>
        <v>7</v>
      </c>
      <c r="B8" s="20">
        <v>0.39</v>
      </c>
      <c r="C8" s="20">
        <v>9</v>
      </c>
    </row>
    <row r="9" spans="1:3" x14ac:dyDescent="0.25">
      <c r="A9" s="20">
        <f t="shared" si="0"/>
        <v>8</v>
      </c>
      <c r="B9" s="20">
        <v>0.43</v>
      </c>
      <c r="C9" s="20">
        <v>11.3</v>
      </c>
    </row>
    <row r="10" spans="1:3" x14ac:dyDescent="0.25">
      <c r="A10" s="20">
        <f t="shared" si="0"/>
        <v>9</v>
      </c>
      <c r="B10" s="20">
        <v>0.47</v>
      </c>
      <c r="C10" s="20">
        <v>13.4</v>
      </c>
    </row>
    <row r="11" spans="1:3" x14ac:dyDescent="0.25">
      <c r="A11" s="20">
        <f t="shared" si="0"/>
        <v>10</v>
      </c>
      <c r="B11" s="20">
        <v>0.35</v>
      </c>
      <c r="C11" s="20">
        <v>9</v>
      </c>
    </row>
    <row r="12" spans="1:3" x14ac:dyDescent="0.25">
      <c r="A12" s="20">
        <f t="shared" si="0"/>
        <v>11</v>
      </c>
      <c r="B12" s="20">
        <v>0.48</v>
      </c>
      <c r="C12" s="20">
        <v>13.8</v>
      </c>
    </row>
    <row r="13" spans="1:3" x14ac:dyDescent="0.25">
      <c r="A13" s="20">
        <f t="shared" si="0"/>
        <v>12</v>
      </c>
      <c r="B13" s="20">
        <v>0.42</v>
      </c>
      <c r="C13" s="20">
        <v>13.3</v>
      </c>
    </row>
    <row r="14" spans="1:3" x14ac:dyDescent="0.25">
      <c r="A14" s="20">
        <f t="shared" si="0"/>
        <v>13</v>
      </c>
      <c r="B14" s="20">
        <v>0.48</v>
      </c>
      <c r="C14" s="20">
        <v>14</v>
      </c>
    </row>
    <row r="15" spans="1:3" x14ac:dyDescent="0.25">
      <c r="A15" s="20">
        <f t="shared" si="0"/>
        <v>14</v>
      </c>
      <c r="B15" s="20">
        <v>0.52</v>
      </c>
      <c r="C15" s="20">
        <v>14.5</v>
      </c>
    </row>
    <row r="16" spans="1:3" x14ac:dyDescent="0.25">
      <c r="A16" s="20">
        <f t="shared" si="0"/>
        <v>15</v>
      </c>
      <c r="B16" s="20">
        <v>0.65</v>
      </c>
      <c r="C16" s="20">
        <v>17.3</v>
      </c>
    </row>
    <row r="17" spans="1:3" x14ac:dyDescent="0.25">
      <c r="A17" s="20">
        <f t="shared" si="0"/>
        <v>16</v>
      </c>
      <c r="B17" s="20">
        <v>0.41</v>
      </c>
      <c r="C17" s="20">
        <v>13.8</v>
      </c>
    </row>
    <row r="18" spans="1:3" x14ac:dyDescent="0.25">
      <c r="A18" s="20">
        <f t="shared" si="0"/>
        <v>17</v>
      </c>
      <c r="B18" s="20">
        <v>0.56000000000000005</v>
      </c>
      <c r="C18" s="20">
        <v>14.5</v>
      </c>
    </row>
    <row r="19" spans="1:3" x14ac:dyDescent="0.25">
      <c r="A19" s="20">
        <f t="shared" si="0"/>
        <v>18</v>
      </c>
      <c r="B19" s="20">
        <v>0.52</v>
      </c>
      <c r="C19" s="20">
        <v>14</v>
      </c>
    </row>
    <row r="20" spans="1:3" x14ac:dyDescent="0.25">
      <c r="A20" s="20">
        <f t="shared" si="0"/>
        <v>19</v>
      </c>
      <c r="B20" s="20">
        <v>0.63</v>
      </c>
      <c r="C20" s="20">
        <v>16.8</v>
      </c>
    </row>
    <row r="21" spans="1:3" x14ac:dyDescent="0.25">
      <c r="A21" s="20">
        <f t="shared" si="0"/>
        <v>20</v>
      </c>
      <c r="B21" s="20">
        <v>0.48</v>
      </c>
      <c r="C21" s="20">
        <v>12.3</v>
      </c>
    </row>
    <row r="22" spans="1:3" x14ac:dyDescent="0.25">
      <c r="A22" s="20">
        <f t="shared" si="0"/>
        <v>21</v>
      </c>
      <c r="B22" s="20">
        <v>0.61</v>
      </c>
      <c r="C22" s="20">
        <v>15.7</v>
      </c>
    </row>
    <row r="23" spans="1:3" x14ac:dyDescent="0.25">
      <c r="A23" s="20">
        <f t="shared" si="0"/>
        <v>22</v>
      </c>
      <c r="B23" s="20">
        <v>0.71</v>
      </c>
      <c r="C23" s="20">
        <v>18</v>
      </c>
    </row>
    <row r="24" spans="1:3" x14ac:dyDescent="0.25">
      <c r="A24" s="20">
        <f t="shared" si="0"/>
        <v>23</v>
      </c>
      <c r="B24" s="20">
        <v>0.45</v>
      </c>
      <c r="C24" s="20">
        <v>11.5</v>
      </c>
    </row>
    <row r="25" spans="1:3" x14ac:dyDescent="0.25">
      <c r="A25" s="20">
        <f t="shared" si="0"/>
        <v>24</v>
      </c>
      <c r="B25" s="20">
        <v>0.56999999999999995</v>
      </c>
      <c r="C25" s="20">
        <v>13.8</v>
      </c>
    </row>
    <row r="26" spans="1:3" x14ac:dyDescent="0.25">
      <c r="A26" s="20">
        <f t="shared" si="0"/>
        <v>25</v>
      </c>
      <c r="B26" s="20">
        <v>0.68</v>
      </c>
      <c r="C26" s="20">
        <v>17.3</v>
      </c>
    </row>
    <row r="27" spans="1:3" x14ac:dyDescent="0.25">
      <c r="A27" s="20">
        <f t="shared" si="0"/>
        <v>26</v>
      </c>
      <c r="B27" s="20">
        <v>0.51</v>
      </c>
      <c r="C27" s="20">
        <v>12.8</v>
      </c>
    </row>
    <row r="28" spans="1:3" x14ac:dyDescent="0.25">
      <c r="A28" s="20">
        <f t="shared" si="0"/>
        <v>27</v>
      </c>
      <c r="B28" s="20">
        <v>0.75</v>
      </c>
      <c r="C28" s="20">
        <v>18</v>
      </c>
    </row>
    <row r="29" spans="1:3" x14ac:dyDescent="0.25">
      <c r="A29" s="20">
        <f t="shared" si="0"/>
        <v>28</v>
      </c>
      <c r="B29" s="20">
        <v>0.53</v>
      </c>
      <c r="C29" s="20">
        <v>13.5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Bioensayo</vt:lpstr>
      <vt:lpstr>Producción Sistema aeropónico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2024-04-25T19:28:35Z</dcterms:created>
  <dcterms:modified xsi:type="dcterms:W3CDTF">2024-04-25T19:35:00Z</dcterms:modified>
</cp:coreProperties>
</file>